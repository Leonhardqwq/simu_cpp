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qiaoli/Desktop/THU/simu_cpp/Jack/"/>
    </mc:Choice>
  </mc:AlternateContent>
  <xr:revisionPtr revIDLastSave="0" documentId="13_ncr:1_{096051CC-DFBC-DF4C-817E-C242F18C7DEB}" xr6:coauthVersionLast="47" xr6:coauthVersionMax="47" xr10:uidLastSave="{00000000-0000-0000-0000-000000000000}"/>
  <bookViews>
    <workbookView xWindow="0" yWindow="760" windowWidth="15720" windowHeight="9760" xr2:uid="{00000000-000D-0000-FFFF-FFFF00000000}"/>
  </bookViews>
  <sheets>
    <sheet name="8列炮" sheetId="3" r:id="rId1"/>
    <sheet name="5" sheetId="4" r:id="rId2"/>
    <sheet name="6" sheetId="6" r:id="rId3"/>
    <sheet name="3" sheetId="10" r:id="rId4"/>
    <sheet name="7-N" sheetId="14" r:id="rId5"/>
    <sheet name="6-2" sheetId="1" r:id="rId6"/>
    <sheet name="奇蛇-N" sheetId="15" r:id="rId7"/>
    <sheet name="5列炮" sheetId="11" r:id="rId8"/>
    <sheet name="7" sheetId="13" r:id="rId9"/>
    <sheet name="9-2" sheetId="12" r:id="rId10"/>
    <sheet name="9" sheetId="5" r:id="rId11"/>
    <sheet name="4" sheetId="9" r:id="rId12"/>
    <sheet name="8" sheetId="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4" l="1"/>
  <c r="I4" i="10"/>
</calcChain>
</file>

<file path=xl/sharedStrings.xml><?xml version="1.0" encoding="utf-8"?>
<sst xmlns="http://schemas.openxmlformats.org/spreadsheetml/2006/main" count="625" uniqueCount="47">
  <si>
    <t>小丑类型</t>
  </si>
  <si>
    <t>全部</t>
  </si>
  <si>
    <t>输出植物信息</t>
  </si>
  <si>
    <t>冰时机列表
(升序)</t>
  </si>
  <si>
    <t>冰瓜溅射时机列表
(升序)</t>
  </si>
  <si>
    <t>垫材信息列表(坐标降序)</t>
  </si>
  <si>
    <t>地图类型</t>
  </si>
  <si>
    <t>后院</t>
  </si>
  <si>
    <t>植物列数</t>
  </si>
  <si>
    <t>植物类型</t>
  </si>
  <si>
    <t>植物状态</t>
  </si>
  <si>
    <t>数量</t>
  </si>
  <si>
    <t>阻挡坐标</t>
  </si>
  <si>
    <t>存在时长</t>
  </si>
  <si>
    <t>被炸情况</t>
  </si>
  <si>
    <t>正炸</t>
  </si>
  <si>
    <t>曾</t>
  </si>
  <si>
    <t>永动</t>
  </si>
  <si>
    <t>被炸植物列数</t>
  </si>
  <si>
    <t>被炸植物类型</t>
  </si>
  <si>
    <t>炮</t>
  </si>
  <si>
    <t>波次类型</t>
  </si>
  <si>
    <t>旗帜波</t>
  </si>
  <si>
    <t>喷</t>
  </si>
  <si>
    <t>冰瓜额外溅射次数</t>
  </si>
  <si>
    <t>测试次数</t>
  </si>
  <si>
    <t>是否展示测试进度</t>
  </si>
  <si>
    <t>是</t>
  </si>
  <si>
    <t>灰烬时机</t>
  </si>
  <si>
    <t>时间上限</t>
  </si>
  <si>
    <t>灰烬类型</t>
  </si>
  <si>
    <t>植物可伤时机</t>
  </si>
  <si>
    <t>锁僵尸位置</t>
  </si>
  <si>
    <t>随机</t>
  </si>
  <si>
    <t>锁植物反应</t>
  </si>
  <si>
    <t>灰烬范围(上小下大)</t>
  </si>
  <si>
    <t>下炸上</t>
  </si>
  <si>
    <t>非永动</t>
  </si>
  <si>
    <t>普通</t>
  </si>
  <si>
    <t>卡</t>
  </si>
  <si>
    <t>早爆</t>
  </si>
  <si>
    <t>通常波</t>
  </si>
  <si>
    <t>前院</t>
  </si>
  <si>
    <t>上炸下</t>
  </si>
  <si>
    <t>屋顶</t>
  </si>
  <si>
    <t>最慢</t>
  </si>
  <si>
    <t>最快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</si>
</sst>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8"/>
  <dimension ref="A1:N25"/>
  <sheetViews>
    <sheetView tabSelected="1" zoomScale="83" zoomScaleNormal="142" workbookViewId="0">
      <selection activeCell="B14" sqref="B14"/>
    </sheetView>
  </sheetViews>
  <sheetFormatPr baseColWidth="10" defaultColWidth="9.1640625" defaultRowHeight="14"/>
  <cols>
    <col min="1" max="1" width="17.33203125" style="1" customWidth="1"/>
    <col min="2" max="2" width="11.5" style="1" bestFit="1" customWidth="1"/>
    <col min="3" max="3" width="9.1640625" style="1"/>
    <col min="4" max="4" width="9.33203125" style="1" bestFit="1" customWidth="1"/>
    <col min="5" max="6" width="9.1640625" style="1"/>
    <col min="7" max="7" width="9.33203125" style="1" bestFit="1" customWidth="1"/>
    <col min="8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96</v>
      </c>
      <c r="K3" s="3"/>
      <c r="M3" s="2"/>
      <c r="N3" s="2"/>
    </row>
    <row r="4" spans="1:14">
      <c r="A4" s="2" t="s">
        <v>18</v>
      </c>
      <c r="B4" s="3">
        <v>8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938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46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000-000000000000}">
      <formula1>"全部,早爆,晚爆"</formula1>
    </dataValidation>
    <dataValidation allowBlank="1" showInputMessage="1" showErrorMessage="1" sqref="A2" xr:uid="{00000000-0002-0000-0000-000001000000}"/>
    <dataValidation type="list" allowBlank="1" showInputMessage="1" showErrorMessage="1" sqref="B2" xr:uid="{00000000-0002-0000-0000-000002000000}">
      <formula1>"前院,后院,屋顶"</formula1>
    </dataValidation>
    <dataValidation type="list" allowBlank="1" showInputMessage="1" showErrorMessage="1" sqref="B3" xr:uid="{00000000-0002-0000-0000-000003000000}">
      <formula1>"上炸下,下炸上,正炸"</formula1>
    </dataValidation>
    <dataValidation type="list" allowBlank="1" showInputMessage="1" showErrorMessage="1" sqref="B4 D3:D25" xr:uid="{00000000-0002-0000-0000-000004000000}">
      <formula1>"1,2,3,4,5,6,7,8,9"</formula1>
    </dataValidation>
    <dataValidation type="list" allowBlank="1" showInputMessage="1" showErrorMessage="1" sqref="B5" xr:uid="{00000000-0002-0000-0000-000005000000}">
      <formula1>"南瓜,普通,炮"</formula1>
    </dataValidation>
    <dataValidation type="list" allowBlank="1" showInputMessage="1" showErrorMessage="1" sqref="B6" xr:uid="{00000000-0002-0000-0000-000006000000}">
      <formula1>"通常波,旗帜波"</formula1>
    </dataValidation>
    <dataValidation type="list" allowBlank="1" showInputMessage="1" showErrorMessage="1" sqref="B11" xr:uid="{00000000-0002-0000-0000-000007000000}">
      <formula1>"是,否"</formula1>
    </dataValidation>
    <dataValidation type="list" allowBlank="1" showInputMessage="1" showErrorMessage="1" sqref="B15" xr:uid="{00000000-0002-0000-0000-000008000000}">
      <formula1>"卡,炮"</formula1>
    </dataValidation>
    <dataValidation type="list" allowBlank="1" showInputMessage="1" showErrorMessage="1" sqref="B18:B19" xr:uid="{00000000-0002-0000-0000-000009000000}">
      <formula1>"随机,最快,最慢"</formula1>
    </dataValidation>
    <dataValidation type="list" allowBlank="1" showInputMessage="1" showErrorMessage="1" sqref="E3:E25" xr:uid="{00000000-0002-0000-0000-00000A000000}">
      <formula1>"曾,喷"</formula1>
    </dataValidation>
    <dataValidation type="list" allowBlank="1" showInputMessage="1" showErrorMessage="1" sqref="F3:F25" xr:uid="{00000000-0002-0000-0000-00000B000000}">
      <formula1>"永动,非永动"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5"/>
  <dimension ref="A1:N25"/>
  <sheetViews>
    <sheetView zoomScale="135" zoomScaleNormal="135" workbookViewId="0">
      <selection activeCell="E12" sqref="E12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1</v>
      </c>
      <c r="I3" s="3">
        <v>901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100-000000000000}">
      <formula1>"全部,早爆,晚爆"</formula1>
    </dataValidation>
    <dataValidation allowBlank="1" showInputMessage="1" showErrorMessage="1" sqref="A2" xr:uid="{00000000-0002-0000-0100-000001000000}"/>
    <dataValidation type="list" allowBlank="1" showInputMessage="1" showErrorMessage="1" sqref="B2" xr:uid="{00000000-0002-0000-0100-000002000000}">
      <formula1>"前院,后院,屋顶"</formula1>
    </dataValidation>
    <dataValidation type="list" allowBlank="1" showInputMessage="1" showErrorMessage="1" sqref="B3" xr:uid="{00000000-0002-0000-0100-000003000000}">
      <formula1>"上炸下,下炸上,正炸"</formula1>
    </dataValidation>
    <dataValidation type="list" allowBlank="1" showInputMessage="1" showErrorMessage="1" sqref="B4 D3:D25" xr:uid="{00000000-0002-0000-0100-000004000000}">
      <formula1>"1,2,3,4,5,6,7,8,9"</formula1>
    </dataValidation>
    <dataValidation type="list" allowBlank="1" showInputMessage="1" showErrorMessage="1" sqref="B5" xr:uid="{00000000-0002-0000-0100-000005000000}">
      <formula1>"南瓜,普通,炮"</formula1>
    </dataValidation>
    <dataValidation type="list" allowBlank="1" showInputMessage="1" showErrorMessage="1" sqref="B6" xr:uid="{00000000-0002-0000-0100-000006000000}">
      <formula1>"通常波,旗帜波"</formula1>
    </dataValidation>
    <dataValidation type="list" allowBlank="1" showInputMessage="1" showErrorMessage="1" sqref="B11" xr:uid="{00000000-0002-0000-0100-000007000000}">
      <formula1>"是,否"</formula1>
    </dataValidation>
    <dataValidation type="list" allowBlank="1" showInputMessage="1" showErrorMessage="1" sqref="B15" xr:uid="{00000000-0002-0000-0100-000008000000}">
      <formula1>"卡,炮"</formula1>
    </dataValidation>
    <dataValidation type="list" allowBlank="1" showInputMessage="1" showErrorMessage="1" sqref="B18:B19" xr:uid="{00000000-0002-0000-0100-000009000000}">
      <formula1>"随机,最快,最慢"</formula1>
    </dataValidation>
    <dataValidation type="list" allowBlank="1" showInputMessage="1" showErrorMessage="1" sqref="E3:E25" xr:uid="{00000000-0002-0000-0100-00000A000000}">
      <formula1>"曾,喷"</formula1>
    </dataValidation>
    <dataValidation type="list" allowBlank="1" showInputMessage="1" showErrorMessage="1" sqref="F3:F25" xr:uid="{00000000-0002-0000-0100-00000B000000}">
      <formula1>"永动,非永动"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N25"/>
  <sheetViews>
    <sheetView zoomScale="90" zoomScaleNormal="90" workbookViewId="0">
      <selection activeCell="B1" sqref="B1"/>
    </sheetView>
  </sheetViews>
  <sheetFormatPr baseColWidth="10" defaultColWidth="9.1640625" defaultRowHeight="14"/>
  <cols>
    <col min="1" max="1" width="17.33203125" style="1" customWidth="1"/>
    <col min="2" max="2" width="10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1928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200-000000000000}">
      <formula1>"全部,早爆,晚爆"</formula1>
    </dataValidation>
    <dataValidation allowBlank="1" showInputMessage="1" showErrorMessage="1" sqref="A2" xr:uid="{00000000-0002-0000-0200-000001000000}"/>
    <dataValidation type="list" allowBlank="1" showInputMessage="1" showErrorMessage="1" sqref="B2" xr:uid="{00000000-0002-0000-0200-000002000000}">
      <formula1>"前院,后院,屋顶"</formula1>
    </dataValidation>
    <dataValidation type="list" allowBlank="1" showInputMessage="1" showErrorMessage="1" sqref="B3" xr:uid="{00000000-0002-0000-0200-000003000000}">
      <formula1>"上炸下,下炸上,正炸"</formula1>
    </dataValidation>
    <dataValidation type="list" allowBlank="1" showInputMessage="1" showErrorMessage="1" sqref="B4 D3:D25" xr:uid="{00000000-0002-0000-0200-000004000000}">
      <formula1>"1,2,3,4,5,6,7,8,9"</formula1>
    </dataValidation>
    <dataValidation type="list" allowBlank="1" showInputMessage="1" showErrorMessage="1" sqref="B5" xr:uid="{00000000-0002-0000-0200-000005000000}">
      <formula1>"南瓜,普通,炮"</formula1>
    </dataValidation>
    <dataValidation type="list" allowBlank="1" showInputMessage="1" showErrorMessage="1" sqref="B6" xr:uid="{00000000-0002-0000-0200-000006000000}">
      <formula1>"通常波,旗帜波"</formula1>
    </dataValidation>
    <dataValidation type="list" allowBlank="1" showInputMessage="1" showErrorMessage="1" sqref="B11" xr:uid="{00000000-0002-0000-0200-000007000000}">
      <formula1>"是,否"</formula1>
    </dataValidation>
    <dataValidation type="list" allowBlank="1" showInputMessage="1" showErrorMessage="1" sqref="B15" xr:uid="{00000000-0002-0000-0200-000008000000}">
      <formula1>"卡,炮"</formula1>
    </dataValidation>
    <dataValidation type="list" allowBlank="1" showInputMessage="1" showErrorMessage="1" sqref="B18:B19" xr:uid="{00000000-0002-0000-0200-000009000000}">
      <formula1>"随机,最快,最慢"</formula1>
    </dataValidation>
    <dataValidation type="list" allowBlank="1" showInputMessage="1" showErrorMessage="1" sqref="E3:E25" xr:uid="{00000000-0002-0000-0200-00000A000000}">
      <formula1>"曾,喷"</formula1>
    </dataValidation>
    <dataValidation type="list" allowBlank="1" showInputMessage="1" showErrorMessage="1" sqref="F3:F25" xr:uid="{00000000-0002-0000-0200-00000B000000}">
      <formula1>"永动,非永动"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25"/>
  <sheetViews>
    <sheetView zoomScale="124" zoomScaleNormal="124" workbookViewId="0">
      <selection activeCell="B11" sqref="B11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42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43</v>
      </c>
      <c r="D3" s="3">
        <v>6</v>
      </c>
      <c r="E3" s="3" t="s">
        <v>16</v>
      </c>
      <c r="F3" s="3" t="s">
        <v>37</v>
      </c>
      <c r="G3" s="3">
        <v>0</v>
      </c>
      <c r="I3" s="3">
        <v>830</v>
      </c>
      <c r="K3" s="3"/>
      <c r="M3" s="2"/>
      <c r="N3" s="2"/>
    </row>
    <row r="4" spans="1:14">
      <c r="A4" s="2" t="s">
        <v>18</v>
      </c>
      <c r="B4" s="3">
        <v>3</v>
      </c>
      <c r="D4" s="3">
        <v>5</v>
      </c>
      <c r="E4" s="3" t="s">
        <v>16</v>
      </c>
      <c r="F4" s="3" t="s">
        <v>17</v>
      </c>
      <c r="G4" s="3">
        <v>0</v>
      </c>
      <c r="I4" s="3">
        <f>I3+2501</f>
        <v>3331</v>
      </c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-200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300-000000000000}">
      <formula1>"全部,早爆,晚爆"</formula1>
    </dataValidation>
    <dataValidation allowBlank="1" showInputMessage="1" showErrorMessage="1" sqref="A2" xr:uid="{00000000-0002-0000-0300-000001000000}"/>
    <dataValidation type="list" allowBlank="1" showInputMessage="1" showErrorMessage="1" sqref="B2" xr:uid="{00000000-0002-0000-0300-000002000000}">
      <formula1>"前院,后院,屋顶"</formula1>
    </dataValidation>
    <dataValidation type="list" allowBlank="1" showInputMessage="1" showErrorMessage="1" sqref="B3" xr:uid="{00000000-0002-0000-0300-000003000000}">
      <formula1>"上炸下,下炸上,正炸"</formula1>
    </dataValidation>
    <dataValidation type="list" allowBlank="1" showInputMessage="1" showErrorMessage="1" sqref="B4 D3:D25" xr:uid="{00000000-0002-0000-0300-000004000000}">
      <formula1>"1,2,3,4,5,6,7,8,9"</formula1>
    </dataValidation>
    <dataValidation type="list" allowBlank="1" showInputMessage="1" showErrorMessage="1" sqref="B5" xr:uid="{00000000-0002-0000-0300-000005000000}">
      <formula1>"南瓜,普通,炮"</formula1>
    </dataValidation>
    <dataValidation type="list" allowBlank="1" showInputMessage="1" showErrorMessage="1" sqref="B6" xr:uid="{00000000-0002-0000-0300-000006000000}">
      <formula1>"通常波,旗帜波"</formula1>
    </dataValidation>
    <dataValidation type="list" allowBlank="1" showInputMessage="1" showErrorMessage="1" sqref="B11" xr:uid="{00000000-0002-0000-0300-000007000000}">
      <formula1>"是,否"</formula1>
    </dataValidation>
    <dataValidation type="list" allowBlank="1" showInputMessage="1" showErrorMessage="1" sqref="B15" xr:uid="{00000000-0002-0000-0300-000008000000}">
      <formula1>"卡,炮"</formula1>
    </dataValidation>
    <dataValidation type="list" allowBlank="1" showInputMessage="1" showErrorMessage="1" sqref="B18:B19" xr:uid="{00000000-0002-0000-0300-000009000000}">
      <formula1>"随机,最快,最慢"</formula1>
    </dataValidation>
    <dataValidation type="list" allowBlank="1" showInputMessage="1" showErrorMessage="1" sqref="E3:E25" xr:uid="{00000000-0002-0000-0300-00000A000000}">
      <formula1>"曾,喷"</formula1>
    </dataValidation>
    <dataValidation type="list" allowBlank="1" showInputMessage="1" showErrorMessage="1" sqref="F3:F25" xr:uid="{00000000-0002-0000-0300-00000B000000}">
      <formula1>"永动,非永动"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N25"/>
  <sheetViews>
    <sheetView zoomScale="160" zoomScaleNormal="160" workbookViewId="0">
      <selection activeCell="C5" sqref="C5"/>
    </sheetView>
  </sheetViews>
  <sheetFormatPr baseColWidth="10" defaultColWidth="9.1640625" defaultRowHeight="14"/>
  <cols>
    <col min="1" max="1" width="17.33203125" style="1" customWidth="1"/>
    <col min="2" max="2" width="10" style="1" customWidth="1"/>
    <col min="3" max="3" width="9.1640625" style="1"/>
    <col min="4" max="4" width="9.33203125" style="1" customWidth="1"/>
    <col min="5" max="6" width="9.1640625" style="1"/>
    <col min="7" max="7" width="9.33203125" style="1" customWidth="1"/>
    <col min="8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42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8</v>
      </c>
      <c r="E3" s="3" t="s">
        <v>16</v>
      </c>
      <c r="F3" s="3" t="s">
        <v>17</v>
      </c>
      <c r="G3" s="3">
        <v>0</v>
      </c>
      <c r="I3" s="3">
        <v>300</v>
      </c>
      <c r="K3" s="3">
        <v>200</v>
      </c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f>B16+299</f>
        <v>1570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1271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400-000000000000}">
      <formula1>"全部,早爆,晚爆"</formula1>
    </dataValidation>
    <dataValidation allowBlank="1" showInputMessage="1" showErrorMessage="1" sqref="A2" xr:uid="{00000000-0002-0000-0400-000001000000}"/>
    <dataValidation type="list" allowBlank="1" showInputMessage="1" showErrorMessage="1" sqref="B2" xr:uid="{00000000-0002-0000-0400-000002000000}">
      <formula1>"前院,后院,屋顶"</formula1>
    </dataValidation>
    <dataValidation type="list" allowBlank="1" showInputMessage="1" showErrorMessage="1" sqref="B3" xr:uid="{00000000-0002-0000-0400-000003000000}">
      <formula1>"上炸下,下炸上,正炸"</formula1>
    </dataValidation>
    <dataValidation type="list" allowBlank="1" showInputMessage="1" showErrorMessage="1" sqref="B4 D3:D25" xr:uid="{00000000-0002-0000-0400-000004000000}">
      <formula1>"1,2,3,4,5,6,7,8,9"</formula1>
    </dataValidation>
    <dataValidation type="list" allowBlank="1" showInputMessage="1" showErrorMessage="1" sqref="B5" xr:uid="{00000000-0002-0000-0400-000005000000}">
      <formula1>"南瓜,普通,炮"</formula1>
    </dataValidation>
    <dataValidation type="list" allowBlank="1" showInputMessage="1" showErrorMessage="1" sqref="B6" xr:uid="{00000000-0002-0000-0400-000006000000}">
      <formula1>"通常波,旗帜波"</formula1>
    </dataValidation>
    <dataValidation type="list" allowBlank="1" showInputMessage="1" showErrorMessage="1" sqref="B11" xr:uid="{00000000-0002-0000-0400-000007000000}">
      <formula1>"是,否"</formula1>
    </dataValidation>
    <dataValidation type="list" allowBlank="1" showInputMessage="1" showErrorMessage="1" sqref="B15" xr:uid="{00000000-0002-0000-0400-000008000000}">
      <formula1>"卡,炮"</formula1>
    </dataValidation>
    <dataValidation type="list" allowBlank="1" showInputMessage="1" showErrorMessage="1" sqref="B18:B19" xr:uid="{00000000-0002-0000-0400-000009000000}">
      <formula1>"随机,最快,最慢"</formula1>
    </dataValidation>
    <dataValidation type="list" allowBlank="1" showInputMessage="1" showErrorMessage="1" sqref="E3:E25" xr:uid="{00000000-0002-0000-0400-00000A000000}">
      <formula1>"曾,喷"</formula1>
    </dataValidation>
    <dataValidation type="list" allowBlank="1" showInputMessage="1" showErrorMessage="1" sqref="F3:F25" xr:uid="{00000000-0002-0000-0400-00000B000000}">
      <formula1>"永动,非永动"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N25"/>
  <sheetViews>
    <sheetView zoomScale="80" zoomScaleNormal="80" workbookViewId="0">
      <selection activeCell="F3" sqref="F3"/>
    </sheetView>
  </sheetViews>
  <sheetFormatPr baseColWidth="10" defaultColWidth="9.1640625" defaultRowHeight="14"/>
  <cols>
    <col min="1" max="1" width="17.33203125" style="1" customWidth="1"/>
    <col min="2" max="2" width="10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1</v>
      </c>
      <c r="I3" s="3">
        <v>783</v>
      </c>
      <c r="K3" s="3"/>
      <c r="M3" s="2"/>
      <c r="N3" s="2"/>
    </row>
    <row r="4" spans="1:14">
      <c r="A4" s="2" t="s">
        <v>18</v>
      </c>
      <c r="B4" s="3">
        <v>6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8000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3000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A23"/>
      <c r="B23"/>
      <c r="D23" s="3"/>
      <c r="E23" s="3"/>
      <c r="F23" s="3"/>
      <c r="G23" s="3"/>
      <c r="I23" s="3"/>
      <c r="K23" s="3"/>
      <c r="M23" s="2"/>
      <c r="N23" s="2"/>
    </row>
    <row r="24" spans="1:14">
      <c r="A24"/>
      <c r="B24"/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500-000000000000}">
      <formula1>"全部,早爆,晚爆"</formula1>
    </dataValidation>
    <dataValidation allowBlank="1" showInputMessage="1" showErrorMessage="1" sqref="A2" xr:uid="{00000000-0002-0000-0500-000001000000}"/>
    <dataValidation type="list" allowBlank="1" showInputMessage="1" showErrorMessage="1" sqref="B2" xr:uid="{00000000-0002-0000-0500-000002000000}">
      <formula1>"前院,后院,屋顶"</formula1>
    </dataValidation>
    <dataValidation type="list" allowBlank="1" showInputMessage="1" showErrorMessage="1" sqref="B3" xr:uid="{00000000-0002-0000-0500-000003000000}">
      <formula1>"上炸下,下炸上,正炸"</formula1>
    </dataValidation>
    <dataValidation type="list" allowBlank="1" showInputMessage="1" showErrorMessage="1" sqref="B4 D3:D25" xr:uid="{00000000-0002-0000-0500-000004000000}">
      <formula1>"1,2,3,4,5,6,7,8,9"</formula1>
    </dataValidation>
    <dataValidation type="list" allowBlank="1" showInputMessage="1" showErrorMessage="1" sqref="B5" xr:uid="{00000000-0002-0000-0500-000005000000}">
      <formula1>"南瓜,普通,炮"</formula1>
    </dataValidation>
    <dataValidation type="list" allowBlank="1" showInputMessage="1" showErrorMessage="1" sqref="B6" xr:uid="{00000000-0002-0000-0500-000006000000}">
      <formula1>"通常波,旗帜波"</formula1>
    </dataValidation>
    <dataValidation type="list" allowBlank="1" showInputMessage="1" showErrorMessage="1" sqref="B11" xr:uid="{00000000-0002-0000-0500-000007000000}">
      <formula1>"是,否"</formula1>
    </dataValidation>
    <dataValidation type="list" allowBlank="1" showInputMessage="1" showErrorMessage="1" sqref="B15" xr:uid="{00000000-0002-0000-0500-000008000000}">
      <formula1>"卡,炮"</formula1>
    </dataValidation>
    <dataValidation type="list" allowBlank="1" showInputMessage="1" showErrorMessage="1" sqref="B18:B19" xr:uid="{00000000-0002-0000-0500-000009000000}">
      <formula1>"随机,最快,最慢"</formula1>
    </dataValidation>
    <dataValidation type="list" allowBlank="1" showInputMessage="1" showErrorMessage="1" sqref="E3:E25" xr:uid="{00000000-0002-0000-0500-00000A000000}">
      <formula1>"曾,喷"</formula1>
    </dataValidation>
    <dataValidation type="list" allowBlank="1" showInputMessage="1" showErrorMessage="1" sqref="F3:F25" xr:uid="{00000000-0002-0000-0500-00000B000000}">
      <formula1>"永动,非永动"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N25"/>
  <sheetViews>
    <sheetView workbookViewId="0">
      <selection activeCell="D14" sqref="D14"/>
    </sheetView>
  </sheetViews>
  <sheetFormatPr baseColWidth="10" defaultColWidth="9.1640625" defaultRowHeight="14"/>
  <cols>
    <col min="1" max="1" width="17.33203125" style="1" customWidth="1"/>
    <col min="2" max="2" width="9.66406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44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8</v>
      </c>
      <c r="E3" s="3" t="s">
        <v>16</v>
      </c>
      <c r="F3" s="3" t="s">
        <v>17</v>
      </c>
      <c r="G3" s="3">
        <v>0</v>
      </c>
      <c r="I3" s="3">
        <v>585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5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4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1116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1400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696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900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600-000000000000}">
      <formula1>"全部,早爆,晚爆"</formula1>
    </dataValidation>
    <dataValidation allowBlank="1" showInputMessage="1" showErrorMessage="1" sqref="A2" xr:uid="{00000000-0002-0000-0600-000001000000}"/>
    <dataValidation type="list" allowBlank="1" showInputMessage="1" showErrorMessage="1" sqref="B2" xr:uid="{00000000-0002-0000-0600-000002000000}">
      <formula1>"前院,后院,屋顶"</formula1>
    </dataValidation>
    <dataValidation type="list" allowBlank="1" showInputMessage="1" showErrorMessage="1" sqref="B3" xr:uid="{00000000-0002-0000-0600-000003000000}">
      <formula1>"上炸下,下炸上,正炸"</formula1>
    </dataValidation>
    <dataValidation type="list" allowBlank="1" showInputMessage="1" showErrorMessage="1" sqref="B4 D3:D25" xr:uid="{00000000-0002-0000-0600-000004000000}">
      <formula1>"1,2,3,4,5,6,7,8,9"</formula1>
    </dataValidation>
    <dataValidation type="list" allowBlank="1" showInputMessage="1" showErrorMessage="1" sqref="B5" xr:uid="{00000000-0002-0000-0600-000005000000}">
      <formula1>"南瓜,普通,炮"</formula1>
    </dataValidation>
    <dataValidation type="list" allowBlank="1" showInputMessage="1" showErrorMessage="1" sqref="B6" xr:uid="{00000000-0002-0000-0600-000006000000}">
      <formula1>"通常波,旗帜波"</formula1>
    </dataValidation>
    <dataValidation type="list" allowBlank="1" showInputMessage="1" showErrorMessage="1" sqref="B11" xr:uid="{00000000-0002-0000-0600-000007000000}">
      <formula1>"是,否"</formula1>
    </dataValidation>
    <dataValidation type="list" allowBlank="1" showInputMessage="1" showErrorMessage="1" sqref="B15" xr:uid="{00000000-0002-0000-0600-000008000000}">
      <formula1>"卡,炮"</formula1>
    </dataValidation>
    <dataValidation type="list" allowBlank="1" showInputMessage="1" showErrorMessage="1" sqref="B18:B19" xr:uid="{00000000-0002-0000-0600-000009000000}">
      <formula1>"随机,最快,最慢"</formula1>
    </dataValidation>
    <dataValidation type="list" allowBlank="1" showInputMessage="1" showErrorMessage="1" sqref="E3:E25" xr:uid="{00000000-0002-0000-0600-00000A000000}">
      <formula1>"曾,喷"</formula1>
    </dataValidation>
    <dataValidation type="list" allowBlank="1" showInputMessage="1" showErrorMessage="1" sqref="F3:F25" xr:uid="{00000000-0002-0000-0600-00000B000000}">
      <formula1>"永动,非永动"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4"/>
  <dimension ref="A1:N25"/>
  <sheetViews>
    <sheetView zoomScale="142" zoomScaleNormal="142" workbookViewId="0">
      <selection activeCell="B22" sqref="B22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15</v>
      </c>
      <c r="D3" s="3">
        <v>6</v>
      </c>
      <c r="E3" s="3" t="s">
        <v>16</v>
      </c>
      <c r="F3" s="3" t="s">
        <v>17</v>
      </c>
      <c r="G3" s="3">
        <v>0</v>
      </c>
      <c r="I3" s="3">
        <v>1</v>
      </c>
      <c r="K3" s="3"/>
      <c r="M3" s="2"/>
      <c r="N3" s="2"/>
    </row>
    <row r="4" spans="1:14">
      <c r="A4" s="2" t="s">
        <v>18</v>
      </c>
      <c r="B4" s="3">
        <v>5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20</v>
      </c>
      <c r="D5" s="3">
        <v>4</v>
      </c>
      <c r="E5" s="3" t="s">
        <v>16</v>
      </c>
      <c r="F5" s="3" t="s">
        <v>17</v>
      </c>
      <c r="G5" s="3">
        <v>0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2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2301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700-000000000000}">
      <formula1>"全部,早爆,晚爆"</formula1>
    </dataValidation>
    <dataValidation allowBlank="1" showInputMessage="1" showErrorMessage="1" sqref="A2" xr:uid="{00000000-0002-0000-0700-000001000000}"/>
    <dataValidation type="list" allowBlank="1" showInputMessage="1" showErrorMessage="1" sqref="B2" xr:uid="{00000000-0002-0000-0700-000002000000}">
      <formula1>"前院,后院,屋顶"</formula1>
    </dataValidation>
    <dataValidation type="list" allowBlank="1" showInputMessage="1" showErrorMessage="1" sqref="B3" xr:uid="{00000000-0002-0000-0700-000003000000}">
      <formula1>"上炸下,下炸上,正炸"</formula1>
    </dataValidation>
    <dataValidation type="list" allowBlank="1" showInputMessage="1" showErrorMessage="1" sqref="B4 D3:D25" xr:uid="{00000000-0002-0000-0700-000004000000}">
      <formula1>"1,2,3,4,5,6,7,8,9"</formula1>
    </dataValidation>
    <dataValidation type="list" allowBlank="1" showInputMessage="1" showErrorMessage="1" sqref="B5" xr:uid="{00000000-0002-0000-0700-000005000000}">
      <formula1>"南瓜,普通,炮"</formula1>
    </dataValidation>
    <dataValidation type="list" allowBlank="1" showInputMessage="1" showErrorMessage="1" sqref="B6" xr:uid="{00000000-0002-0000-0700-000006000000}">
      <formula1>"通常波,旗帜波"</formula1>
    </dataValidation>
    <dataValidation type="list" allowBlank="1" showInputMessage="1" showErrorMessage="1" sqref="B11" xr:uid="{00000000-0002-0000-0700-000007000000}">
      <formula1>"是,否"</formula1>
    </dataValidation>
    <dataValidation type="list" allowBlank="1" showInputMessage="1" showErrorMessage="1" sqref="B15" xr:uid="{00000000-0002-0000-0700-000008000000}">
      <formula1>"卡,炮"</formula1>
    </dataValidation>
    <dataValidation type="list" allowBlank="1" showInputMessage="1" showErrorMessage="1" sqref="B18:B19" xr:uid="{00000000-0002-0000-0700-000009000000}">
      <formula1>"随机,最快,最慢"</formula1>
    </dataValidation>
    <dataValidation type="list" allowBlank="1" showInputMessage="1" showErrorMessage="1" sqref="E3:E25" xr:uid="{00000000-0002-0000-0700-00000A000000}">
      <formula1>"曾,喷"</formula1>
    </dataValidation>
    <dataValidation type="list" allowBlank="1" showInputMessage="1" showErrorMessage="1" sqref="F3:F25" xr:uid="{00000000-0002-0000-0700-00000B000000}">
      <formula1>"永动,非永动"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N25"/>
  <sheetViews>
    <sheetView zoomScale="118" zoomScaleNormal="118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0</v>
      </c>
      <c r="I3" s="3">
        <v>300</v>
      </c>
      <c r="K3" s="3"/>
      <c r="M3" s="2"/>
      <c r="N3" s="2"/>
    </row>
    <row r="4" spans="1:14">
      <c r="A4" s="2" t="s">
        <v>18</v>
      </c>
      <c r="B4" s="3">
        <v>7</v>
      </c>
      <c r="D4" s="3">
        <v>5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6</v>
      </c>
      <c r="E6" s="3" t="s">
        <v>16</v>
      </c>
      <c r="F6" s="3" t="s">
        <v>17</v>
      </c>
      <c r="G6" s="3">
        <v>1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4</v>
      </c>
      <c r="E9" s="3" t="s">
        <v>23</v>
      </c>
      <c r="F9" s="3" t="s">
        <v>17</v>
      </c>
      <c r="G9" s="3">
        <v>1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800-000000000000}">
      <formula1>"全部,早爆,晚爆"</formula1>
    </dataValidation>
    <dataValidation allowBlank="1" showInputMessage="1" showErrorMessage="1" sqref="A2" xr:uid="{00000000-0002-0000-0800-000001000000}"/>
    <dataValidation type="list" allowBlank="1" showInputMessage="1" showErrorMessage="1" sqref="B2" xr:uid="{00000000-0002-0000-0800-000002000000}">
      <formula1>"前院,后院,屋顶"</formula1>
    </dataValidation>
    <dataValidation type="list" allowBlank="1" showInputMessage="1" showErrorMessage="1" sqref="B3" xr:uid="{00000000-0002-0000-0800-000003000000}">
      <formula1>"上炸下,下炸上,正炸"</formula1>
    </dataValidation>
    <dataValidation type="list" allowBlank="1" showInputMessage="1" showErrorMessage="1" sqref="B4 D3:D25" xr:uid="{00000000-0002-0000-0800-000004000000}">
      <formula1>"1,2,3,4,5,6,7,8,9"</formula1>
    </dataValidation>
    <dataValidation type="list" allowBlank="1" showInputMessage="1" showErrorMessage="1" sqref="B5" xr:uid="{00000000-0002-0000-0800-000005000000}">
      <formula1>"南瓜,普通,炮"</formula1>
    </dataValidation>
    <dataValidation type="list" allowBlank="1" showInputMessage="1" showErrorMessage="1" sqref="B6" xr:uid="{00000000-0002-0000-0800-000006000000}">
      <formula1>"通常波,旗帜波"</formula1>
    </dataValidation>
    <dataValidation type="list" allowBlank="1" showInputMessage="1" showErrorMessage="1" sqref="B11" xr:uid="{00000000-0002-0000-0800-000007000000}">
      <formula1>"是,否"</formula1>
    </dataValidation>
    <dataValidation type="list" allowBlank="1" showInputMessage="1" showErrorMessage="1" sqref="B15" xr:uid="{00000000-0002-0000-0800-000008000000}">
      <formula1>"卡,炮"</formula1>
    </dataValidation>
    <dataValidation type="list" allowBlank="1" showInputMessage="1" showErrorMessage="1" sqref="B18:B19" xr:uid="{00000000-0002-0000-0800-000009000000}">
      <formula1>"随机,最快,最慢"</formula1>
    </dataValidation>
    <dataValidation type="list" allowBlank="1" showInputMessage="1" showErrorMessage="1" sqref="E3:E25" xr:uid="{00000000-0002-0000-0800-00000A000000}">
      <formula1>"曾,喷"</formula1>
    </dataValidation>
    <dataValidation type="list" allowBlank="1" showInputMessage="1" showErrorMessage="1" sqref="F3:F25" xr:uid="{00000000-0002-0000-0800-00000B000000}">
      <formula1>"永动,非永动"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N25"/>
  <sheetViews>
    <sheetView topLeftCell="A6" zoomScale="116" zoomScaleNormal="116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37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37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900-000000000000}">
      <formula1>"全部,早爆,晚爆"</formula1>
    </dataValidation>
    <dataValidation allowBlank="1" showInputMessage="1" showErrorMessage="1" sqref="A2" xr:uid="{00000000-0002-0000-0900-000001000000}"/>
    <dataValidation type="list" allowBlank="1" showInputMessage="1" showErrorMessage="1" sqref="B2" xr:uid="{00000000-0002-0000-0900-000002000000}">
      <formula1>"前院,后院,屋顶"</formula1>
    </dataValidation>
    <dataValidation type="list" allowBlank="1" showInputMessage="1" showErrorMessage="1" sqref="B3" xr:uid="{00000000-0002-0000-0900-000003000000}">
      <formula1>"上炸下,下炸上,正炸"</formula1>
    </dataValidation>
    <dataValidation type="list" allowBlank="1" showInputMessage="1" showErrorMessage="1" sqref="B4 D3:D25" xr:uid="{00000000-0002-0000-0900-000004000000}">
      <formula1>"1,2,3,4,5,6,7,8,9"</formula1>
    </dataValidation>
    <dataValidation type="list" allowBlank="1" showInputMessage="1" showErrorMessage="1" sqref="B5" xr:uid="{00000000-0002-0000-0900-000005000000}">
      <formula1>"南瓜,普通,炮"</formula1>
    </dataValidation>
    <dataValidation type="list" allowBlank="1" showInputMessage="1" showErrorMessage="1" sqref="B6" xr:uid="{00000000-0002-0000-0900-000006000000}">
      <formula1>"通常波,旗帜波"</formula1>
    </dataValidation>
    <dataValidation type="list" allowBlank="1" showInputMessage="1" showErrorMessage="1" sqref="B11" xr:uid="{00000000-0002-0000-0900-000007000000}">
      <formula1>"是,否"</formula1>
    </dataValidation>
    <dataValidation type="list" allowBlank="1" showInputMessage="1" showErrorMessage="1" sqref="B15" xr:uid="{00000000-0002-0000-0900-000008000000}">
      <formula1>"卡,炮"</formula1>
    </dataValidation>
    <dataValidation type="list" allowBlank="1" showInputMessage="1" showErrorMessage="1" sqref="B18:B19" xr:uid="{00000000-0002-0000-0900-000009000000}">
      <formula1>"随机,最快,最慢"</formula1>
    </dataValidation>
    <dataValidation type="list" allowBlank="1" showInputMessage="1" showErrorMessage="1" sqref="E3:E25" xr:uid="{00000000-0002-0000-0900-00000A000000}">
      <formula1>"曾,喷"</formula1>
    </dataValidation>
    <dataValidation type="list" allowBlank="1" showInputMessage="1" showErrorMessage="1" sqref="F3:F25" xr:uid="{00000000-0002-0000-0900-00000B000000}">
      <formula1>"永动,非永动"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N25"/>
  <sheetViews>
    <sheetView zoomScale="121" zoomScaleNormal="121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2" width="9.33203125" style="1"/>
    <col min="3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9</v>
      </c>
      <c r="E3" s="3" t="s">
        <v>16</v>
      </c>
      <c r="F3" s="3" t="s">
        <v>37</v>
      </c>
      <c r="G3" s="3">
        <v>1</v>
      </c>
      <c r="I3" s="3"/>
      <c r="K3" s="3">
        <v>307</v>
      </c>
      <c r="M3" s="2"/>
      <c r="N3" s="2"/>
    </row>
    <row r="4" spans="1:14">
      <c r="A4" s="2" t="s">
        <v>18</v>
      </c>
      <c r="B4" s="3">
        <v>9</v>
      </c>
      <c r="D4" s="3">
        <v>8</v>
      </c>
      <c r="E4" s="3" t="s">
        <v>16</v>
      </c>
      <c r="F4" s="3" t="s">
        <v>37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37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22</v>
      </c>
      <c r="D6" s="3">
        <v>6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37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10000000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549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20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45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716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A00-000000000000}">
      <formula1>"全部,早爆,晚爆"</formula1>
    </dataValidation>
    <dataValidation allowBlank="1" showInputMessage="1" showErrorMessage="1" sqref="A2" xr:uid="{00000000-0002-0000-0A00-000001000000}"/>
    <dataValidation type="list" allowBlank="1" showInputMessage="1" showErrorMessage="1" sqref="B2" xr:uid="{00000000-0002-0000-0A00-000002000000}">
      <formula1>"前院,后院,屋顶"</formula1>
    </dataValidation>
    <dataValidation type="list" allowBlank="1" showInputMessage="1" showErrorMessage="1" sqref="B3" xr:uid="{00000000-0002-0000-0A00-000003000000}">
      <formula1>"上炸下,下炸上,正炸"</formula1>
    </dataValidation>
    <dataValidation type="list" allowBlank="1" showInputMessage="1" showErrorMessage="1" sqref="B4 D3:D25" xr:uid="{00000000-0002-0000-0A00-000004000000}">
      <formula1>"1,2,3,4,5,6,7,8,9"</formula1>
    </dataValidation>
    <dataValidation type="list" allowBlank="1" showInputMessage="1" showErrorMessage="1" sqref="B5" xr:uid="{00000000-0002-0000-0A00-000005000000}">
      <formula1>"南瓜,普通,炮"</formula1>
    </dataValidation>
    <dataValidation type="list" allowBlank="1" showInputMessage="1" showErrorMessage="1" sqref="B6" xr:uid="{00000000-0002-0000-0A00-000006000000}">
      <formula1>"通常波,旗帜波"</formula1>
    </dataValidation>
    <dataValidation type="list" allowBlank="1" showInputMessage="1" showErrorMessage="1" sqref="B11" xr:uid="{00000000-0002-0000-0A00-000007000000}">
      <formula1>"是,否"</formula1>
    </dataValidation>
    <dataValidation type="list" allowBlank="1" showInputMessage="1" showErrorMessage="1" sqref="B15" xr:uid="{00000000-0002-0000-0A00-000008000000}">
      <formula1>"卡,炮"</formula1>
    </dataValidation>
    <dataValidation type="list" allowBlank="1" showInputMessage="1" showErrorMessage="1" sqref="B18:B19" xr:uid="{00000000-0002-0000-0A00-000009000000}">
      <formula1>"随机,最快,最慢"</formula1>
    </dataValidation>
    <dataValidation type="list" allowBlank="1" showInputMessage="1" showErrorMessage="1" sqref="E3:E25" xr:uid="{00000000-0002-0000-0A00-00000A000000}">
      <formula1>"曾,喷"</formula1>
    </dataValidation>
    <dataValidation type="list" allowBlank="1" showInputMessage="1" showErrorMessage="1" sqref="F3:F25" xr:uid="{00000000-0002-0000-0A00-00000B000000}">
      <formula1>"永动,非永动"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4"/>
  <dimension ref="A1:N25"/>
  <sheetViews>
    <sheetView topLeftCell="A9" zoomScale="117" zoomScaleNormal="117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1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6</v>
      </c>
      <c r="E3" s="3" t="s">
        <v>16</v>
      </c>
      <c r="F3" s="3" t="s">
        <v>37</v>
      </c>
      <c r="G3" s="3">
        <v>0</v>
      </c>
      <c r="I3" s="3">
        <v>800</v>
      </c>
      <c r="K3" s="3"/>
      <c r="M3" s="2"/>
      <c r="N3" s="2"/>
    </row>
    <row r="4" spans="1:14">
      <c r="A4" s="2" t="s">
        <v>18</v>
      </c>
      <c r="B4" s="3">
        <v>4</v>
      </c>
      <c r="D4" s="3">
        <v>5</v>
      </c>
      <c r="E4" s="3" t="s">
        <v>16</v>
      </c>
      <c r="F4" s="3" t="s">
        <v>17</v>
      </c>
      <c r="G4" s="3">
        <v>0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4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3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4</v>
      </c>
      <c r="E7" s="3" t="s">
        <v>23</v>
      </c>
      <c r="F7" s="3" t="s">
        <v>17</v>
      </c>
      <c r="G7" s="3">
        <v>1</v>
      </c>
      <c r="I7" s="3"/>
      <c r="K7" s="3"/>
      <c r="M7" s="2"/>
      <c r="N7" s="2"/>
    </row>
    <row r="8" spans="1:14">
      <c r="A8" s="2" t="s">
        <v>24</v>
      </c>
      <c r="B8" s="3">
        <v>0</v>
      </c>
      <c r="D8" s="3">
        <v>3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/>
      <c r="E9" s="3"/>
      <c r="F9" s="3"/>
      <c r="G9" s="3"/>
      <c r="I9" s="3"/>
      <c r="K9" s="3"/>
      <c r="M9" s="2"/>
      <c r="N9" s="2"/>
    </row>
    <row r="10" spans="1:14">
      <c r="A10" s="2" t="s">
        <v>25</v>
      </c>
      <c r="B10" s="3">
        <v>500000</v>
      </c>
      <c r="D10" s="3"/>
      <c r="E10" s="3"/>
      <c r="F10" s="3"/>
      <c r="G10" s="3"/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2300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B00-000000000000}">
      <formula1>"全部,早爆,晚爆"</formula1>
    </dataValidation>
    <dataValidation allowBlank="1" showInputMessage="1" showErrorMessage="1" sqref="A2" xr:uid="{00000000-0002-0000-0B00-000001000000}"/>
    <dataValidation type="list" allowBlank="1" showInputMessage="1" showErrorMessage="1" sqref="B2" xr:uid="{00000000-0002-0000-0B00-000002000000}">
      <formula1>"前院,后院,屋顶"</formula1>
    </dataValidation>
    <dataValidation type="list" allowBlank="1" showInputMessage="1" showErrorMessage="1" sqref="B3" xr:uid="{00000000-0002-0000-0B00-000003000000}">
      <formula1>"上炸下,下炸上,正炸"</formula1>
    </dataValidation>
    <dataValidation type="list" allowBlank="1" showInputMessage="1" showErrorMessage="1" sqref="B4 D3:D25" xr:uid="{00000000-0002-0000-0B00-000004000000}">
      <formula1>"1,2,3,4,5,6,7,8,9"</formula1>
    </dataValidation>
    <dataValidation type="list" allowBlank="1" showInputMessage="1" showErrorMessage="1" sqref="B5" xr:uid="{00000000-0002-0000-0B00-000005000000}">
      <formula1>"南瓜,普通,炮"</formula1>
    </dataValidation>
    <dataValidation type="list" allowBlank="1" showInputMessage="1" showErrorMessage="1" sqref="B6" xr:uid="{00000000-0002-0000-0B00-000006000000}">
      <formula1>"通常波,旗帜波"</formula1>
    </dataValidation>
    <dataValidation type="list" allowBlank="1" showInputMessage="1" showErrorMessage="1" sqref="B11" xr:uid="{00000000-0002-0000-0B00-000007000000}">
      <formula1>"是,否"</formula1>
    </dataValidation>
    <dataValidation type="list" allowBlank="1" showInputMessage="1" showErrorMessage="1" sqref="B15" xr:uid="{00000000-0002-0000-0B00-000008000000}">
      <formula1>"卡,炮"</formula1>
    </dataValidation>
    <dataValidation type="list" allowBlank="1" showInputMessage="1" showErrorMessage="1" sqref="B18:B19" xr:uid="{00000000-0002-0000-0B00-000009000000}">
      <formula1>"随机,最快,最慢"</formula1>
    </dataValidation>
    <dataValidation type="list" allowBlank="1" showInputMessage="1" showErrorMessage="1" sqref="E3:E25" xr:uid="{00000000-0002-0000-0B00-00000A000000}">
      <formula1>"曾,喷"</formula1>
    </dataValidation>
    <dataValidation type="list" allowBlank="1" showInputMessage="1" showErrorMessage="1" sqref="F3:F25" xr:uid="{00000000-0002-0000-0B00-00000B000000}">
      <formula1>"永动,非永动"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6"/>
  <dimension ref="A1:N25"/>
  <sheetViews>
    <sheetView topLeftCell="A5" zoomScale="117" zoomScaleNormal="117" workbookViewId="0">
      <selection activeCell="A19" sqref="A19:B19"/>
    </sheetView>
  </sheetViews>
  <sheetFormatPr baseColWidth="10" defaultColWidth="9.1640625" defaultRowHeight="14"/>
  <cols>
    <col min="1" max="1" width="17.33203125" style="1" customWidth="1"/>
    <col min="2" max="8" width="9.1640625" style="1"/>
    <col min="9" max="9" width="13.33203125" style="1" customWidth="1"/>
    <col min="10" max="10" width="9.1640625" style="1"/>
    <col min="11" max="11" width="18.83203125" style="1" customWidth="1"/>
    <col min="12" max="12" width="9.1640625" style="1"/>
    <col min="13" max="13" width="11.33203125" style="1" customWidth="1"/>
    <col min="14" max="14" width="12" style="1" customWidth="1"/>
    <col min="15" max="16384" width="9.1640625" style="1"/>
  </cols>
  <sheetData>
    <row r="1" spans="1:14">
      <c r="A1" s="2" t="s">
        <v>0</v>
      </c>
      <c r="B1" s="3" t="s">
        <v>40</v>
      </c>
      <c r="D1" s="4" t="s">
        <v>2</v>
      </c>
      <c r="E1" s="4"/>
      <c r="F1" s="4"/>
      <c r="G1" s="4"/>
      <c r="I1" s="5" t="s">
        <v>3</v>
      </c>
      <c r="K1" s="5" t="s">
        <v>4</v>
      </c>
      <c r="M1" s="4" t="s">
        <v>5</v>
      </c>
      <c r="N1" s="4"/>
    </row>
    <row r="2" spans="1:14">
      <c r="A2" s="2" t="s">
        <v>6</v>
      </c>
      <c r="B2" s="3" t="s">
        <v>7</v>
      </c>
      <c r="D2" s="2" t="s">
        <v>8</v>
      </c>
      <c r="E2" s="2" t="s">
        <v>9</v>
      </c>
      <c r="F2" s="2" t="s">
        <v>10</v>
      </c>
      <c r="G2" s="2" t="s">
        <v>11</v>
      </c>
      <c r="I2" s="4"/>
      <c r="K2" s="4"/>
      <c r="M2" s="2" t="s">
        <v>12</v>
      </c>
      <c r="N2" s="2" t="s">
        <v>13</v>
      </c>
    </row>
    <row r="3" spans="1:14">
      <c r="A3" s="2" t="s">
        <v>14</v>
      </c>
      <c r="B3" s="3" t="s">
        <v>36</v>
      </c>
      <c r="D3" s="3">
        <v>5</v>
      </c>
      <c r="E3" s="3" t="s">
        <v>16</v>
      </c>
      <c r="F3" s="3" t="s">
        <v>17</v>
      </c>
      <c r="G3" s="3">
        <v>0</v>
      </c>
      <c r="I3" s="3">
        <v>440</v>
      </c>
      <c r="K3" s="3">
        <v>50</v>
      </c>
      <c r="M3" s="2"/>
      <c r="N3" s="2"/>
    </row>
    <row r="4" spans="1:14">
      <c r="A4" s="2" t="s">
        <v>18</v>
      </c>
      <c r="B4" s="3">
        <v>8</v>
      </c>
      <c r="D4" s="3">
        <v>8</v>
      </c>
      <c r="E4" s="3" t="s">
        <v>16</v>
      </c>
      <c r="F4" s="3" t="s">
        <v>17</v>
      </c>
      <c r="G4" s="3">
        <v>1</v>
      </c>
      <c r="I4" s="3"/>
      <c r="K4" s="3"/>
      <c r="M4" s="2"/>
      <c r="N4" s="2"/>
    </row>
    <row r="5" spans="1:14">
      <c r="A5" s="2" t="s">
        <v>19</v>
      </c>
      <c r="B5" s="3" t="s">
        <v>38</v>
      </c>
      <c r="D5" s="3">
        <v>7</v>
      </c>
      <c r="E5" s="3" t="s">
        <v>16</v>
      </c>
      <c r="F5" s="3" t="s">
        <v>17</v>
      </c>
      <c r="G5" s="3">
        <v>1</v>
      </c>
      <c r="I5" s="3"/>
      <c r="K5" s="3"/>
      <c r="M5" s="2"/>
      <c r="N5" s="2"/>
    </row>
    <row r="6" spans="1:14">
      <c r="A6" s="2" t="s">
        <v>21</v>
      </c>
      <c r="B6" s="3" t="s">
        <v>41</v>
      </c>
      <c r="D6" s="3">
        <v>7</v>
      </c>
      <c r="E6" s="3" t="s">
        <v>16</v>
      </c>
      <c r="F6" s="3" t="s">
        <v>17</v>
      </c>
      <c r="G6" s="3">
        <v>0</v>
      </c>
      <c r="I6" s="3"/>
      <c r="K6" s="3"/>
      <c r="M6" s="2"/>
      <c r="N6" s="2"/>
    </row>
    <row r="7" spans="1:14">
      <c r="D7" s="3">
        <v>7</v>
      </c>
      <c r="E7" s="3" t="s">
        <v>23</v>
      </c>
      <c r="F7" s="3" t="s">
        <v>17</v>
      </c>
      <c r="G7" s="3">
        <v>0</v>
      </c>
      <c r="I7" s="3"/>
      <c r="K7" s="3"/>
      <c r="M7" s="2"/>
      <c r="N7" s="2"/>
    </row>
    <row r="8" spans="1:14">
      <c r="A8" s="2" t="s">
        <v>24</v>
      </c>
      <c r="B8" s="3">
        <v>3</v>
      </c>
      <c r="D8" s="3">
        <v>6</v>
      </c>
      <c r="E8" s="3" t="s">
        <v>23</v>
      </c>
      <c r="F8" s="3" t="s">
        <v>17</v>
      </c>
      <c r="G8" s="3">
        <v>0</v>
      </c>
      <c r="I8" s="3"/>
      <c r="K8" s="3"/>
      <c r="M8" s="2"/>
      <c r="N8" s="2"/>
    </row>
    <row r="9" spans="1:14">
      <c r="D9" s="3">
        <v>5</v>
      </c>
      <c r="E9" s="3" t="s">
        <v>23</v>
      </c>
      <c r="F9" s="3" t="s">
        <v>17</v>
      </c>
      <c r="G9" s="3">
        <v>0</v>
      </c>
      <c r="I9" s="3"/>
      <c r="K9" s="3"/>
      <c r="M9" s="2"/>
      <c r="N9" s="2"/>
    </row>
    <row r="10" spans="1:14">
      <c r="A10" s="2" t="s">
        <v>25</v>
      </c>
      <c r="B10" s="3">
        <v>50000</v>
      </c>
      <c r="D10" s="3">
        <v>4</v>
      </c>
      <c r="E10" s="3" t="s">
        <v>23</v>
      </c>
      <c r="F10" s="3" t="s">
        <v>17</v>
      </c>
      <c r="G10" s="3">
        <v>0</v>
      </c>
      <c r="I10" s="3"/>
      <c r="K10" s="3"/>
      <c r="M10" s="2"/>
      <c r="N10" s="2"/>
    </row>
    <row r="11" spans="1:14">
      <c r="A11" s="2" t="s">
        <v>26</v>
      </c>
      <c r="B11" s="3" t="s">
        <v>27</v>
      </c>
      <c r="D11" s="3"/>
      <c r="E11" s="3"/>
      <c r="F11" s="3"/>
      <c r="G11" s="3"/>
      <c r="I11" s="3"/>
      <c r="K11" s="3"/>
      <c r="M11" s="2"/>
      <c r="N11" s="2"/>
    </row>
    <row r="12" spans="1:14">
      <c r="D12" s="3"/>
      <c r="E12" s="3"/>
      <c r="F12" s="3"/>
      <c r="G12" s="3"/>
      <c r="I12" s="3"/>
      <c r="K12" s="3"/>
      <c r="M12" s="2"/>
      <c r="N12" s="2"/>
    </row>
    <row r="13" spans="1:14">
      <c r="A13" s="2" t="s">
        <v>28</v>
      </c>
      <c r="B13" s="3">
        <v>4000</v>
      </c>
      <c r="D13" s="3"/>
      <c r="E13" s="3"/>
      <c r="F13" s="3"/>
      <c r="G13" s="3"/>
      <c r="I13" s="3"/>
      <c r="K13" s="3"/>
      <c r="M13" s="2"/>
      <c r="N13" s="2"/>
    </row>
    <row r="14" spans="1:14">
      <c r="A14" s="2" t="s">
        <v>29</v>
      </c>
      <c r="B14" s="2">
        <v>4000</v>
      </c>
      <c r="D14" s="3"/>
      <c r="E14" s="3"/>
      <c r="F14" s="3"/>
      <c r="G14" s="3"/>
      <c r="I14" s="3"/>
      <c r="K14" s="3"/>
      <c r="M14" s="2"/>
      <c r="N14" s="2"/>
    </row>
    <row r="15" spans="1:14">
      <c r="A15" s="2" t="s">
        <v>30</v>
      </c>
      <c r="B15" s="3" t="s">
        <v>39</v>
      </c>
      <c r="D15" s="3"/>
      <c r="E15" s="3"/>
      <c r="F15" s="3"/>
      <c r="G15" s="3"/>
      <c r="I15" s="3"/>
      <c r="K15" s="3"/>
      <c r="M15" s="2"/>
      <c r="N15" s="2"/>
    </row>
    <row r="16" spans="1:14">
      <c r="A16" s="2" t="s">
        <v>31</v>
      </c>
      <c r="B16" s="3">
        <v>0</v>
      </c>
      <c r="D16" s="3"/>
      <c r="E16" s="3"/>
      <c r="F16" s="3"/>
      <c r="G16" s="3"/>
      <c r="I16" s="3"/>
      <c r="K16" s="3"/>
      <c r="M16" s="2"/>
      <c r="N16" s="2"/>
    </row>
    <row r="17" spans="1:14">
      <c r="D17" s="3"/>
      <c r="E17" s="3"/>
      <c r="F17" s="3"/>
      <c r="G17" s="3"/>
      <c r="I17" s="3"/>
      <c r="K17" s="3"/>
      <c r="M17" s="2"/>
      <c r="N17" s="2"/>
    </row>
    <row r="18" spans="1:14">
      <c r="A18" s="2" t="s">
        <v>32</v>
      </c>
      <c r="B18" s="3" t="s">
        <v>33</v>
      </c>
      <c r="D18" s="3"/>
      <c r="E18" s="3"/>
      <c r="F18" s="3"/>
      <c r="G18" s="3"/>
      <c r="I18" s="3"/>
      <c r="K18" s="3"/>
      <c r="M18" s="2"/>
      <c r="N18" s="2"/>
    </row>
    <row r="19" spans="1:14">
      <c r="A19" s="2" t="s">
        <v>34</v>
      </c>
      <c r="B19" s="3" t="s">
        <v>33</v>
      </c>
      <c r="D19" s="3"/>
      <c r="E19" s="3"/>
      <c r="F19" s="3"/>
      <c r="G19" s="3"/>
      <c r="I19" s="3"/>
      <c r="K19" s="3"/>
      <c r="M19" s="2"/>
      <c r="N19" s="2"/>
    </row>
    <row r="20" spans="1:14">
      <c r="A20" s="4" t="s">
        <v>35</v>
      </c>
      <c r="B20" s="3">
        <v>100</v>
      </c>
      <c r="D20" s="3"/>
      <c r="E20" s="3"/>
      <c r="F20" s="3"/>
      <c r="G20" s="3"/>
      <c r="I20" s="3"/>
      <c r="K20" s="3"/>
      <c r="M20" s="2"/>
      <c r="N20" s="2"/>
    </row>
    <row r="21" spans="1:14">
      <c r="A21" s="4"/>
      <c r="B21" s="3">
        <v>100</v>
      </c>
      <c r="D21" s="3"/>
      <c r="E21" s="3"/>
      <c r="F21" s="3"/>
      <c r="G21" s="3"/>
      <c r="I21" s="3"/>
      <c r="K21" s="3"/>
      <c r="M21" s="2"/>
      <c r="N21" s="2"/>
    </row>
    <row r="22" spans="1:14">
      <c r="D22" s="3"/>
      <c r="E22" s="3"/>
      <c r="F22" s="3"/>
      <c r="G22" s="3"/>
      <c r="I22" s="3"/>
      <c r="K22" s="3"/>
      <c r="M22" s="2"/>
      <c r="N22" s="2"/>
    </row>
    <row r="23" spans="1:14">
      <c r="D23" s="3"/>
      <c r="E23" s="3"/>
      <c r="F23" s="3"/>
      <c r="G23" s="3"/>
      <c r="I23" s="3"/>
      <c r="K23" s="3"/>
      <c r="M23" s="2"/>
      <c r="N23" s="2"/>
    </row>
    <row r="24" spans="1:14">
      <c r="D24" s="3"/>
      <c r="E24" s="3"/>
      <c r="F24" s="3"/>
      <c r="G24" s="3"/>
      <c r="I24" s="3"/>
      <c r="K24" s="3"/>
      <c r="M24" s="2"/>
      <c r="N24" s="2"/>
    </row>
    <row r="25" spans="1:14">
      <c r="D25" s="3"/>
      <c r="E25" s="3"/>
      <c r="F25" s="3"/>
      <c r="G25" s="3"/>
      <c r="I25" s="3"/>
      <c r="K25" s="3"/>
      <c r="M25" s="2"/>
      <c r="N25" s="2"/>
    </row>
  </sheetData>
  <mergeCells count="5">
    <mergeCell ref="D1:G1"/>
    <mergeCell ref="M1:N1"/>
    <mergeCell ref="A20:A21"/>
    <mergeCell ref="I1:I2"/>
    <mergeCell ref="K1:K2"/>
  </mergeCells>
  <phoneticPr fontId="1" type="noConversion"/>
  <dataValidations count="12">
    <dataValidation type="list" allowBlank="1" showInputMessage="1" showErrorMessage="1" sqref="B1" xr:uid="{00000000-0002-0000-0C00-000000000000}">
      <formula1>"全部,早爆,晚爆"</formula1>
    </dataValidation>
    <dataValidation allowBlank="1" showInputMessage="1" showErrorMessage="1" sqref="A2" xr:uid="{00000000-0002-0000-0C00-000001000000}"/>
    <dataValidation type="list" allowBlank="1" showInputMessage="1" showErrorMessage="1" sqref="B2" xr:uid="{00000000-0002-0000-0C00-000002000000}">
      <formula1>"前院,后院,屋顶"</formula1>
    </dataValidation>
    <dataValidation type="list" allowBlank="1" showInputMessage="1" showErrorMessage="1" sqref="B3" xr:uid="{00000000-0002-0000-0C00-000003000000}">
      <formula1>"上炸下,下炸上,正炸"</formula1>
    </dataValidation>
    <dataValidation type="list" allowBlank="1" showInputMessage="1" showErrorMessage="1" sqref="B4 D3:D25" xr:uid="{00000000-0002-0000-0C00-000004000000}">
      <formula1>"1,2,3,4,5,6,7,8,9"</formula1>
    </dataValidation>
    <dataValidation type="list" allowBlank="1" showInputMessage="1" showErrorMessage="1" sqref="B5" xr:uid="{00000000-0002-0000-0C00-000005000000}">
      <formula1>"南瓜,普通,炮"</formula1>
    </dataValidation>
    <dataValidation type="list" allowBlank="1" showInputMessage="1" showErrorMessage="1" sqref="B6" xr:uid="{00000000-0002-0000-0C00-000006000000}">
      <formula1>"通常波,旗帜波"</formula1>
    </dataValidation>
    <dataValidation type="list" allowBlank="1" showInputMessage="1" showErrorMessage="1" sqref="B11" xr:uid="{00000000-0002-0000-0C00-000007000000}">
      <formula1>"是,否"</formula1>
    </dataValidation>
    <dataValidation type="list" allowBlank="1" showInputMessage="1" showErrorMessage="1" sqref="B15" xr:uid="{00000000-0002-0000-0C00-000008000000}">
      <formula1>"卡,炮"</formula1>
    </dataValidation>
    <dataValidation type="list" allowBlank="1" showInputMessage="1" showErrorMessage="1" sqref="B18:B19" xr:uid="{00000000-0002-0000-0C00-000009000000}">
      <formula1>"随机,最快,最慢"</formula1>
    </dataValidation>
    <dataValidation type="list" allowBlank="1" showInputMessage="1" showErrorMessage="1" sqref="E3:E25" xr:uid="{00000000-0002-0000-0C00-00000A000000}">
      <formula1>"曾,喷"</formula1>
    </dataValidation>
    <dataValidation type="list" allowBlank="1" showInputMessage="1" showErrorMessage="1" sqref="F3:F25" xr:uid="{00000000-0002-0000-0C00-00000B000000}">
      <formula1>"永动,非永动"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8列炮</vt:lpstr>
      <vt:lpstr>5</vt:lpstr>
      <vt:lpstr>6</vt:lpstr>
      <vt:lpstr>3</vt:lpstr>
      <vt:lpstr>7-N</vt:lpstr>
      <vt:lpstr>6-2</vt:lpstr>
      <vt:lpstr>奇蛇-N</vt:lpstr>
      <vt:lpstr>5列炮</vt:lpstr>
      <vt:lpstr>7</vt:lpstr>
      <vt:lpstr>9-2</vt:lpstr>
      <vt:lpstr>9</vt:lpstr>
      <vt:lpstr>4</vt:lpstr>
      <vt:lpstr>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qiaoli</cp:lastModifiedBy>
  <dcterms:created xsi:type="dcterms:W3CDTF">2024-11-08T13:45:00Z</dcterms:created>
  <dcterms:modified xsi:type="dcterms:W3CDTF">2025-11-20T02:17:57Z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