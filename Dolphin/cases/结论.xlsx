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660" windowHeight="17775"/>
  </bookViews>
  <sheets>
    <sheet name="极快表版本" sheetId="2" r:id="rId1"/>
    <sheet name="草稿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<sst xmlns="http://schemas.openxmlformats.org/spreadsheetml/2006/main" count="88" uniqueCount="50">
  <si>
    <t>跳</t>
  </si>
  <si>
    <t>啃</t>
  </si>
  <si>
    <t>0冰
最早啃</t>
  </si>
  <si>
    <t>0冰
跳跃中减速
最早啃</t>
  </si>
  <si>
    <t>1冰
最早啃</t>
  </si>
  <si>
    <t>11冰
最早啃</t>
  </si>
  <si>
    <t>12冰
最早啃</t>
  </si>
  <si>
    <t>96冰
最早啃</t>
  </si>
  <si>
    <t>6普</t>
  </si>
  <si>
    <t>56炮</t>
  </si>
  <si>
    <t>7普</t>
  </si>
  <si>
    <t>5普</t>
  </si>
  <si>
    <t>45炮</t>
  </si>
  <si>
    <t>7南瓜</t>
  </si>
  <si>
    <t>4普</t>
  </si>
  <si>
    <t>34炮</t>
  </si>
  <si>
    <t>6南瓜</t>
  </si>
  <si>
    <t>3普</t>
  </si>
  <si>
    <t>23炮</t>
  </si>
  <si>
    <t>5南瓜</t>
  </si>
  <si>
    <t>2普</t>
  </si>
  <si>
    <t>12炮</t>
  </si>
  <si>
    <t>4南瓜</t>
  </si>
  <si>
    <t>1普</t>
  </si>
  <si>
    <t>1炮</t>
  </si>
  <si>
    <t>3南瓜</t>
  </si>
  <si>
    <t>匀速时长</t>
  </si>
  <si>
    <t>跳跃时长</t>
  </si>
  <si>
    <t>入水坐标</t>
  </si>
  <si>
    <t>跳前攻击偏移</t>
  </si>
  <si>
    <t>跳后攻击偏移</t>
  </si>
  <si>
    <t>起跳坐标</t>
  </si>
  <si>
    <t>起跳浮点坐标</t>
  </si>
  <si>
    <t>防御域</t>
  </si>
  <si>
    <t>跳啃垫</t>
  </si>
  <si>
    <t>落前坐标</t>
  </si>
  <si>
    <t>啃垫</t>
  </si>
  <si>
    <t>落点坐标</t>
  </si>
  <si>
    <t>啃守</t>
  </si>
  <si>
    <t>垫(触发起跳)</t>
  </si>
  <si>
    <t>列</t>
  </si>
  <si>
    <t>坐标</t>
  </si>
  <si>
    <t>类型</t>
  </si>
  <si>
    <t>炮</t>
  </si>
  <si>
    <t>防御偏移</t>
  </si>
  <si>
    <t>垫（防御判定）</t>
  </si>
  <si>
    <t>南</t>
  </si>
  <si>
    <t>守</t>
  </si>
  <si>
    <t>普</t>
  </si>
  <si>
    <t>防御域偏移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</si>
</sst>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6" borderId="12">
      <alignment vertical="center"/>
    </xf>
    <xf numFmtId="0" fontId="13" fillId="7" borderId="13">
      <alignment vertical="center"/>
    </xf>
    <xf numFmtId="0" fontId="14" fillId="7" borderId="12">
      <alignment vertical="center"/>
    </xf>
    <xf numFmtId="0" fontId="15" fillId="8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3" borderId="0">
      <alignment vertical="center"/>
    </xf>
    <xf numFmtId="0" fontId="19" fillId="4" borderId="0">
      <alignment vertical="center"/>
    </xf>
    <xf numFmtId="0" fontId="20" fillId="2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2" borderId="0" xfId="24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2" applyNumberFormat="1" applyFont="1" applyFill="1" applyBorder="1" applyAlignment="1">
      <alignment horizontal="center" vertical="center" wrapText="1"/>
    </xf>
    <xf numFmtId="0" fontId="1" fillId="2" borderId="1" xfId="24" applyFont="1" applyFill="1" applyBorder="1" applyAlignment="1">
      <alignment horizontal="center" vertical="center"/>
    </xf>
    <xf numFmtId="0" fontId="1" fillId="2" borderId="2" xfId="24" applyFont="1" applyFill="1" applyBorder="1" applyAlignment="1">
      <alignment horizontal="center" vertical="center"/>
    </xf>
    <xf numFmtId="0" fontId="2" fillId="3" borderId="2" xfId="22" applyNumberFormat="1" applyFont="1" applyFill="1" applyBorder="1" applyAlignment="1">
      <alignment horizontal="center" vertical="center" wrapText="1"/>
    </xf>
    <xf numFmtId="0" fontId="2" fillId="3" borderId="3" xfId="22" applyNumberFormat="1" applyFont="1" applyFill="1" applyBorder="1" applyAlignment="1">
      <alignment horizontal="center" vertical="center" wrapText="1"/>
    </xf>
    <xf numFmtId="0" fontId="3" fillId="4" borderId="4" xfId="23" applyFont="1" applyFill="1" applyBorder="1" applyAlignment="1">
      <alignment horizontal="right" vertical="center"/>
    </xf>
    <xf numFmtId="0" fontId="3" fillId="4" borderId="0" xfId="23" applyFont="1" applyFill="1" applyBorder="1" applyAlignment="1">
      <alignment horizontal="right" vertical="center"/>
    </xf>
    <xf numFmtId="0" fontId="1" fillId="2" borderId="5" xfId="24" applyFont="1" applyFill="1" applyBorder="1" applyAlignment="1">
      <alignment horizontal="center" vertical="center"/>
    </xf>
    <xf numFmtId="0" fontId="3" fillId="4" borderId="6" xfId="23" applyFont="1" applyFill="1" applyBorder="1" applyAlignment="1">
      <alignment horizontal="right" vertical="center"/>
    </xf>
    <xf numFmtId="0" fontId="3" fillId="4" borderId="7" xfId="23" applyFont="1" applyFill="1" applyBorder="1" applyAlignment="1">
      <alignment horizontal="right" vertical="center"/>
    </xf>
    <xf numFmtId="0" fontId="1" fillId="2" borderId="7" xfId="24" applyFont="1" applyFill="1" applyBorder="1" applyAlignment="1">
      <alignment horizontal="center" vertical="center"/>
    </xf>
    <xf numFmtId="0" fontId="1" fillId="2" borderId="8" xfId="24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I24"/>
  <sheetViews>
    <sheetView tabSelected="1" zoomScale="145" zoomScaleNormal="145" workbookViewId="0">
      <selection activeCell="E10" sqref="E10"/>
    </sheetView>
  </sheetViews>
  <sheetFormatPr defaultColWidth="9" defaultRowHeight="13.5"/>
  <sheetData>
    <row r="1" ht="14.25"/>
    <row r="2" ht="54" spans="2:9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7" t="s">
        <v>7</v>
      </c>
    </row>
    <row r="3" spans="2:9">
      <c r="B3" s="8">
        <v>8</v>
      </c>
      <c r="C3" s="9" t="s">
        <v>8</v>
      </c>
      <c r="D3" s="1">
        <v>891</v>
      </c>
      <c r="E3" s="1">
        <v>1130</v>
      </c>
      <c r="F3" s="1">
        <v>1671</v>
      </c>
      <c r="G3" s="1">
        <v>1661</v>
      </c>
      <c r="H3" s="1">
        <v>1661</v>
      </c>
      <c r="I3" s="10">
        <v>1577</v>
      </c>
    </row>
    <row r="4" spans="2:9">
      <c r="B4" s="8">
        <v>8</v>
      </c>
      <c r="C4" s="9" t="s">
        <v>9</v>
      </c>
      <c r="D4" s="1">
        <v>937</v>
      </c>
      <c r="E4" s="1">
        <v>1223</v>
      </c>
      <c r="F4" s="1">
        <v>1763</v>
      </c>
      <c r="G4" s="1">
        <v>1753</v>
      </c>
      <c r="H4" s="1">
        <v>1752</v>
      </c>
      <c r="I4" s="10">
        <v>1668</v>
      </c>
    </row>
    <row r="5" spans="2:9">
      <c r="B5" s="8" t="s">
        <v>10</v>
      </c>
      <c r="C5" s="9" t="s">
        <v>11</v>
      </c>
      <c r="D5" s="1">
        <v>1104</v>
      </c>
      <c r="E5" s="1">
        <v>1502</v>
      </c>
      <c r="F5" s="1"/>
      <c r="G5" s="1"/>
      <c r="H5" s="1"/>
      <c r="I5" s="10">
        <v>2026</v>
      </c>
    </row>
    <row r="6" spans="2:9">
      <c r="B6" s="8" t="s">
        <v>10</v>
      </c>
      <c r="C6" s="9" t="s">
        <v>12</v>
      </c>
      <c r="D6" s="1">
        <v>1143</v>
      </c>
      <c r="E6" s="1">
        <v>1579</v>
      </c>
      <c r="F6" s="1"/>
      <c r="G6" s="1"/>
      <c r="H6" s="1"/>
      <c r="I6" s="10"/>
    </row>
    <row r="7" spans="2:9">
      <c r="B7" s="8" t="s">
        <v>13</v>
      </c>
      <c r="C7" s="9" t="s">
        <v>11</v>
      </c>
      <c r="D7" s="1">
        <v>1251</v>
      </c>
      <c r="E7" s="1">
        <v>1828</v>
      </c>
      <c r="F7" s="1"/>
      <c r="G7" s="1"/>
      <c r="H7" s="1"/>
      <c r="I7" s="10"/>
    </row>
    <row r="8" spans="2:9">
      <c r="B8" s="8" t="s">
        <v>13</v>
      </c>
      <c r="C8" s="9" t="s">
        <v>12</v>
      </c>
      <c r="D8" s="1">
        <v>1300</v>
      </c>
      <c r="E8" s="1">
        <v>1926</v>
      </c>
      <c r="F8" s="1"/>
      <c r="G8" s="1"/>
      <c r="H8" s="1"/>
      <c r="I8" s="10"/>
    </row>
    <row r="9" spans="2:9">
      <c r="B9" s="8" t="s">
        <v>8</v>
      </c>
      <c r="C9" s="9" t="s">
        <v>14</v>
      </c>
      <c r="D9" s="1">
        <v>1192</v>
      </c>
      <c r="E9" s="1">
        <v>1589</v>
      </c>
      <c r="F9" s="1"/>
      <c r="G9" s="1"/>
      <c r="H9" s="1"/>
      <c r="I9" s="10"/>
    </row>
    <row r="10" spans="2:9">
      <c r="B10" s="8" t="s">
        <v>8</v>
      </c>
      <c r="C10" s="9" t="s">
        <v>15</v>
      </c>
      <c r="D10" s="1">
        <v>1230</v>
      </c>
      <c r="E10" s="1">
        <v>1666</v>
      </c>
      <c r="F10" s="1"/>
      <c r="G10" s="1"/>
      <c r="H10" s="1"/>
      <c r="I10" s="10"/>
    </row>
    <row r="11" spans="2:9">
      <c r="B11" s="8" t="s">
        <v>16</v>
      </c>
      <c r="C11" s="9" t="s">
        <v>14</v>
      </c>
      <c r="D11" s="1">
        <v>1338</v>
      </c>
      <c r="E11" s="1">
        <v>1915</v>
      </c>
      <c r="F11" s="1"/>
      <c r="G11" s="1"/>
      <c r="H11" s="1"/>
      <c r="I11" s="10"/>
    </row>
    <row r="12" spans="2:9">
      <c r="B12" s="8" t="s">
        <v>16</v>
      </c>
      <c r="C12" s="9" t="s">
        <v>15</v>
      </c>
      <c r="D12" s="1">
        <v>1388</v>
      </c>
      <c r="E12" s="1">
        <v>2014</v>
      </c>
      <c r="F12" s="1"/>
      <c r="G12" s="1"/>
      <c r="H12" s="1"/>
      <c r="I12" s="10"/>
    </row>
    <row r="13" spans="2:9">
      <c r="B13" s="8" t="s">
        <v>11</v>
      </c>
      <c r="C13" s="9" t="s">
        <v>17</v>
      </c>
      <c r="D13" s="1">
        <v>1280</v>
      </c>
      <c r="E13" s="1">
        <v>1677</v>
      </c>
      <c r="F13" s="1"/>
      <c r="G13" s="1"/>
      <c r="H13" s="1"/>
      <c r="I13" s="10"/>
    </row>
    <row r="14" spans="2:9">
      <c r="B14" s="8" t="s">
        <v>11</v>
      </c>
      <c r="C14" s="9" t="s">
        <v>18</v>
      </c>
      <c r="D14" s="1">
        <v>1318</v>
      </c>
      <c r="E14" s="1">
        <v>1753</v>
      </c>
      <c r="F14" s="1"/>
      <c r="G14" s="1"/>
      <c r="H14" s="1"/>
      <c r="I14" s="10"/>
    </row>
    <row r="15" spans="2:9">
      <c r="B15" s="8" t="s">
        <v>19</v>
      </c>
      <c r="C15" s="9" t="s">
        <v>17</v>
      </c>
      <c r="D15" s="1">
        <v>1426</v>
      </c>
      <c r="E15" s="1">
        <v>2002</v>
      </c>
      <c r="F15" s="1"/>
      <c r="G15" s="1"/>
      <c r="H15" s="1"/>
      <c r="I15" s="10"/>
    </row>
    <row r="16" spans="2:9">
      <c r="B16" s="8" t="s">
        <v>19</v>
      </c>
      <c r="C16" s="9" t="s">
        <v>18</v>
      </c>
      <c r="D16" s="1">
        <v>1476</v>
      </c>
      <c r="E16" s="1">
        <v>2101</v>
      </c>
      <c r="F16" s="1"/>
      <c r="G16" s="1"/>
      <c r="H16" s="1"/>
      <c r="I16" s="10"/>
    </row>
    <row r="17" spans="2:9">
      <c r="B17" s="8" t="s">
        <v>14</v>
      </c>
      <c r="C17" s="9" t="s">
        <v>20</v>
      </c>
      <c r="D17" s="1">
        <v>1368</v>
      </c>
      <c r="E17" s="1">
        <v>1764</v>
      </c>
      <c r="F17" s="1"/>
      <c r="G17" s="1"/>
      <c r="H17" s="1"/>
      <c r="I17" s="10"/>
    </row>
    <row r="18" spans="2:9">
      <c r="B18" s="8" t="s">
        <v>14</v>
      </c>
      <c r="C18" s="9" t="s">
        <v>21</v>
      </c>
      <c r="D18" s="1">
        <v>1405</v>
      </c>
      <c r="E18" s="1">
        <v>1840</v>
      </c>
      <c r="F18" s="1"/>
      <c r="G18" s="1"/>
      <c r="H18" s="1"/>
      <c r="I18" s="10"/>
    </row>
    <row r="19" spans="2:9">
      <c r="B19" s="8" t="s">
        <v>22</v>
      </c>
      <c r="C19" s="9" t="s">
        <v>20</v>
      </c>
      <c r="D19" s="1">
        <v>1514</v>
      </c>
      <c r="E19" s="1">
        <v>2089</v>
      </c>
      <c r="F19" s="1"/>
      <c r="G19" s="1"/>
      <c r="H19" s="1"/>
      <c r="I19" s="10"/>
    </row>
    <row r="20" spans="2:9">
      <c r="B20" s="8" t="s">
        <v>22</v>
      </c>
      <c r="C20" s="9" t="s">
        <v>21</v>
      </c>
      <c r="D20" s="1">
        <v>1563</v>
      </c>
      <c r="E20" s="1">
        <v>2188</v>
      </c>
      <c r="F20" s="1"/>
      <c r="G20" s="1"/>
      <c r="H20" s="1"/>
      <c r="I20" s="10"/>
    </row>
    <row r="21" spans="2:9">
      <c r="B21" s="8" t="s">
        <v>17</v>
      </c>
      <c r="C21" s="9" t="s">
        <v>23</v>
      </c>
      <c r="D21" s="1">
        <v>1455</v>
      </c>
      <c r="E21" s="1">
        <v>1852</v>
      </c>
      <c r="F21" s="1"/>
      <c r="G21" s="1"/>
      <c r="H21" s="1"/>
      <c r="I21" s="10"/>
    </row>
    <row r="22" spans="2:9">
      <c r="B22" s="8" t="s">
        <v>17</v>
      </c>
      <c r="C22" s="9" t="s">
        <v>24</v>
      </c>
      <c r="D22" s="1">
        <v>1296</v>
      </c>
      <c r="E22" s="1">
        <v>1533</v>
      </c>
      <c r="F22" s="1"/>
      <c r="G22" s="1"/>
      <c r="H22" s="1"/>
      <c r="I22" s="10"/>
    </row>
    <row r="23" spans="2:9">
      <c r="B23" s="8" t="s">
        <v>25</v>
      </c>
      <c r="C23" s="9" t="s">
        <v>23</v>
      </c>
      <c r="D23" s="1">
        <v>1601</v>
      </c>
      <c r="E23" s="1">
        <v>2176</v>
      </c>
      <c r="F23" s="1"/>
      <c r="G23" s="1"/>
      <c r="H23" s="1"/>
      <c r="I23" s="10"/>
    </row>
    <row r="24" ht="14.25" spans="2:9">
      <c r="B24" s="11" t="s">
        <v>25</v>
      </c>
      <c r="C24" s="12" t="s">
        <v>24</v>
      </c>
      <c r="D24" s="13">
        <v>1422</v>
      </c>
      <c r="E24" s="13">
        <v>1819</v>
      </c>
      <c r="F24" s="13"/>
      <c r="G24" s="13"/>
      <c r="H24" s="13"/>
      <c r="I24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H37"/>
  <sheetViews>
    <sheetView zoomScale="145" zoomScaleNormal="145" workbookViewId="0">
      <selection activeCell="C30" sqref="C30"/>
    </sheetView>
  </sheetViews>
  <sheetFormatPr defaultColWidth="9" defaultRowHeight="13.5" outlineLevelCol="7"/>
  <cols>
    <col min="2" max="2" width="13.7083333333333" customWidth="1"/>
    <col min="5" max="5" width="11.3666666666667" customWidth="1"/>
  </cols>
  <sheetData>
    <row r="2" spans="2:8">
      <c r="B2" t="s">
        <v>26</v>
      </c>
      <c r="C2">
        <v>113</v>
      </c>
      <c r="D2">
        <v>0.5</v>
      </c>
      <c r="E2">
        <f>C2*D2</f>
        <v>56.5</v>
      </c>
    </row>
    <row r="3" spans="2:8">
      <c r="B3" t="s">
        <v>27</v>
      </c>
      <c r="C3">
        <v>232</v>
      </c>
      <c r="E3">
        <v>94</v>
      </c>
    </row>
    <row r="4" spans="2:8">
      <c r="B4" t="s">
        <v>28</v>
      </c>
      <c r="C4">
        <v>650</v>
      </c>
    </row>
    <row r="5" spans="2:8">
      <c r="B5" t="s">
        <v>29</v>
      </c>
      <c r="C5" s="1">
        <v>-29</v>
      </c>
      <c r="D5" s="1">
        <v>41</v>
      </c>
    </row>
    <row r="6" spans="2:8">
      <c r="B6" t="s">
        <v>30</v>
      </c>
      <c r="C6" s="1">
        <v>30</v>
      </c>
      <c r="D6" s="1">
        <v>60</v>
      </c>
    </row>
    <row r="8" spans="2:8">
      <c r="B8" t="s">
        <v>31</v>
      </c>
      <c r="C8">
        <f>MIN(D18-C5,C4)</f>
        <v>650</v>
      </c>
      <c r="D8">
        <v>0.9</v>
      </c>
    </row>
    <row r="9" spans="2:8">
      <c r="B9" t="s">
        <v>32</v>
      </c>
      <c r="C9">
        <f>C8+D8</f>
        <v>650.9</v>
      </c>
      <c r="D9" s="2" t="s">
        <v>33</v>
      </c>
      <c r="E9" s="2"/>
      <c r="G9" t="s">
        <v>34</v>
      </c>
      <c r="H9" t="b">
        <f>IF(AND(D10&lt;=D25,E10&gt;=C25),TRUE(),FALSE())</f>
        <v>1</v>
      </c>
    </row>
    <row r="10" spans="2:8">
      <c r="B10" t="s">
        <v>35</v>
      </c>
      <c r="C10">
        <f>C9-E2</f>
        <v>594.4</v>
      </c>
      <c r="D10">
        <f>INT(C10)+C6</f>
        <v>624</v>
      </c>
      <c r="E10">
        <f>INT(C10)+D6</f>
        <v>654</v>
      </c>
      <c r="G10" t="s">
        <v>36</v>
      </c>
      <c r="H10" t="b">
        <f>IF(AND(D11&lt;=D25,E11&gt;=C25),TRUE(),FALSE())</f>
        <v>0</v>
      </c>
    </row>
    <row r="11" spans="2:8">
      <c r="B11" t="s">
        <v>37</v>
      </c>
      <c r="C11">
        <f>C10-E3</f>
        <v>500.4</v>
      </c>
      <c r="D11">
        <f>INT(C11)+C6</f>
        <v>530</v>
      </c>
      <c r="E11">
        <f>INT(C11)+D6</f>
        <v>560</v>
      </c>
      <c r="G11" t="s">
        <v>38</v>
      </c>
      <c r="H11" t="b">
        <f>IF(AND(D11&lt;=D32,E11&gt;=C32),TRUE(),FALSE())</f>
        <v>0</v>
      </c>
    </row>
    <row r="13" ht="14.25" spans="2:8">
      <c r="B13" t="s">
        <v>39</v>
      </c>
    </row>
    <row r="14" spans="2:8">
      <c r="B14" t="s">
        <v>40</v>
      </c>
      <c r="C14" s="3">
        <v>8</v>
      </c>
    </row>
    <row r="15" spans="2:8">
      <c r="B15" t="s">
        <v>41</v>
      </c>
      <c r="C15">
        <f>C14*80-40</f>
        <v>600</v>
      </c>
    </row>
    <row r="16" spans="2:8">
      <c r="B16" t="s">
        <v>42</v>
      </c>
      <c r="C16" s="3" t="s">
        <v>43</v>
      </c>
    </row>
    <row r="17" spans="2:4">
      <c r="B17" t="s">
        <v>44</v>
      </c>
      <c r="C17">
        <f>IF(C16=B35,C35,IF(C16=B36,C36,C37))</f>
        <v>-60</v>
      </c>
      <c r="D17">
        <f>IF(C16=B35,D35,IF(C16=B36,D36,D37))</f>
        <v>40</v>
      </c>
    </row>
    <row r="18" spans="2:4">
      <c r="B18" t="s">
        <v>33</v>
      </c>
      <c r="C18">
        <f>C15+C17</f>
        <v>540</v>
      </c>
      <c r="D18">
        <f>C15+D17</f>
        <v>640</v>
      </c>
    </row>
    <row r="20" ht="14.25" spans="2:4">
      <c r="B20" t="s">
        <v>45</v>
      </c>
    </row>
    <row r="21" spans="2:4">
      <c r="B21" t="s">
        <v>40</v>
      </c>
      <c r="C21" s="3">
        <f>C14</f>
        <v>8</v>
      </c>
    </row>
    <row r="22" spans="2:4">
      <c r="B22" t="s">
        <v>41</v>
      </c>
      <c r="C22">
        <f>C21*80-40</f>
        <v>600</v>
      </c>
    </row>
    <row r="23" spans="2:4">
      <c r="B23" t="s">
        <v>42</v>
      </c>
      <c r="C23" s="3" t="s">
        <v>46</v>
      </c>
    </row>
    <row r="24" spans="2:4">
      <c r="B24" t="s">
        <v>44</v>
      </c>
      <c r="C24">
        <f>IF(C23=B35,C35,IF(C23=B36,C36,C37))</f>
        <v>20</v>
      </c>
      <c r="D24">
        <f>IF(C23=B35,D35,IF(C23=B36,D36,D37))</f>
        <v>80</v>
      </c>
    </row>
    <row r="25" spans="2:4">
      <c r="B25" t="s">
        <v>33</v>
      </c>
      <c r="C25">
        <f>C22+C24</f>
        <v>620</v>
      </c>
      <c r="D25">
        <f>C22+D24</f>
        <v>680</v>
      </c>
    </row>
    <row r="27" ht="14.25" spans="2:4">
      <c r="B27" t="s">
        <v>47</v>
      </c>
    </row>
    <row r="28" spans="2:4">
      <c r="B28" t="s">
        <v>40</v>
      </c>
      <c r="C28" s="3">
        <v>6</v>
      </c>
    </row>
    <row r="29" spans="2:4">
      <c r="B29" t="s">
        <v>41</v>
      </c>
      <c r="C29">
        <f>C28*80-40</f>
        <v>440</v>
      </c>
    </row>
    <row r="30" spans="2:4">
      <c r="B30" t="s">
        <v>42</v>
      </c>
      <c r="C30" s="3" t="s">
        <v>48</v>
      </c>
    </row>
    <row r="31" spans="2:4">
      <c r="B31" t="s">
        <v>44</v>
      </c>
      <c r="C31">
        <f>IF(C30=B35,C35,IF(C30=B36,C36,C37))</f>
        <v>30</v>
      </c>
      <c r="D31">
        <f>IF(C30=B35,D35,IF(C30=B36,D36,D37))</f>
        <v>50</v>
      </c>
    </row>
    <row r="32" spans="2:4">
      <c r="B32" t="s">
        <v>33</v>
      </c>
      <c r="C32">
        <f>C29+C31</f>
        <v>470</v>
      </c>
      <c r="D32">
        <f>C29+D31</f>
        <v>490</v>
      </c>
    </row>
    <row r="34" spans="2:4">
      <c r="C34" s="2" t="s">
        <v>49</v>
      </c>
      <c r="D34" s="2"/>
    </row>
    <row r="35" spans="2:4">
      <c r="B35" t="s">
        <v>48</v>
      </c>
      <c r="C35">
        <v>30</v>
      </c>
      <c r="D35">
        <v>50</v>
      </c>
    </row>
    <row r="36" spans="2:4">
      <c r="B36" t="s">
        <v>46</v>
      </c>
      <c r="C36">
        <v>20</v>
      </c>
      <c r="D36">
        <v>80</v>
      </c>
    </row>
    <row r="37" spans="2:4">
      <c r="B37" t="s">
        <v>43</v>
      </c>
      <c r="C37">
        <v>-60</v>
      </c>
      <c r="D37">
        <v>40</v>
      </c>
    </row>
  </sheetData>
  <mergeCells count="2">
    <mergeCell ref="D9:E9"/>
    <mergeCell ref="C34:D34"/>
  </mergeCells>
  <dataValidations count="1">
    <dataValidation type="list" allowBlank="1" showInputMessage="1" showErrorMessage="1" sqref="C16 C23 C30">
      <formula1>"普,南,炮"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极快表版本</vt:lpstr>
      <vt:lpstr>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2026-05-14T14:50:34Z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E4C2BD42D08A4802B0325D462E23A49E_12</vt:lpwstr>
  </property>
</Properties>
</file>